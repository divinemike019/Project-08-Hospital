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<sst xmlns="http://schemas.openxmlformats.org/spreadsheetml/2006/main" count="49" uniqueCount="42">
  <si>
    <t xml:space="preserve">PROJECT 8 — HOSPITAL OPERATIONS ANALYTICS  |  Admissions Dataset</t>
  </si>
  <si>
    <t xml:space="preserve">Charlie  |  TheBuild Data Analysis Programme  |  June 2026</t>
  </si>
  <si>
    <t xml:space="preserve">HIGHEST READMIT</t>
  </si>
  <si>
    <t xml:space="preserve">BUSIEST</t>
  </si>
  <si>
    <t xml:space="preserve">WINTER SURGE</t>
  </si>
  <si>
    <t xml:space="preserve">LONGEST LOS</t>
  </si>
  <si>
    <t xml:space="preserve">TOTAL ADMIT</t>
  </si>
  <si>
    <t xml:space="preserve">AVG LOS</t>
  </si>
  <si>
    <t xml:space="preserve">Oncology 31.2%</t>
  </si>
  <si>
    <t xml:space="preserve">Emergency</t>
  </si>
  <si>
    <t xml:space="preserve">+23% vs Summer</t>
  </si>
  <si>
    <t xml:space="preserve">Oncology 8.4d</t>
  </si>
  <si>
    <t xml:space="preserve">61,550</t>
  </si>
  <si>
    <t xml:space="preserve">4.5 days</t>
  </si>
  <si>
    <t xml:space="preserve">Department Performance</t>
  </si>
  <si>
    <t xml:space="preserve">Department</t>
  </si>
  <si>
    <t xml:space="preserve">Admissions</t>
  </si>
  <si>
    <t xml:space="preserve">Avg LOS (Days)</t>
  </si>
  <si>
    <t xml:space="preserve">Readmissions</t>
  </si>
  <si>
    <t xml:space="preserve">Readmit Rate %</t>
  </si>
  <si>
    <t xml:space="preserve">Priority</t>
  </si>
  <si>
    <t xml:space="preserve">Emergency &amp; Trauma</t>
  </si>
  <si>
    <t xml:space="preserve">🟠 High</t>
  </si>
  <si>
    <t xml:space="preserve">Cardiology</t>
  </si>
  <si>
    <t xml:space="preserve">Orthopaedics</t>
  </si>
  <si>
    <t xml:space="preserve">🟢 Good</t>
  </si>
  <si>
    <t xml:space="preserve">Oncology</t>
  </si>
  <si>
    <t xml:space="preserve">🔴 Critical</t>
  </si>
  <si>
    <t xml:space="preserve">Paediatrics</t>
  </si>
  <si>
    <t xml:space="preserve">Neurology</t>
  </si>
  <si>
    <t xml:space="preserve">TOTALS</t>
  </si>
  <si>
    <t xml:space="preserve">Seasonal Admission Patterns</t>
  </si>
  <si>
    <t xml:space="preserve">Season</t>
  </si>
  <si>
    <t xml:space="preserve">Quarter</t>
  </si>
  <si>
    <t xml:space="preserve">Winter</t>
  </si>
  <si>
    <t xml:space="preserve">Q1</t>
  </si>
  <si>
    <t xml:space="preserve">Spring</t>
  </si>
  <si>
    <t xml:space="preserve">Q2</t>
  </si>
  <si>
    <t xml:space="preserve">Summer</t>
  </si>
  <si>
    <t xml:space="preserve">Q3</t>
  </si>
  <si>
    <t xml:space="preserve">Autumn</t>
  </si>
  <si>
    <t xml:space="preserve">Q4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</si>
</sst>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A202C"/>
      <name val="Arial"/>
      <family val="0"/>
      <charset val="1"/>
    </font>
    <font>
      <b val="true"/>
      <sz val="8"/>
      <color rgb="FF718096"/>
      <name val="Arial"/>
      <family val="0"/>
      <charset val="1"/>
    </font>
    <font>
      <b val="true"/>
      <sz val="13"/>
      <color rgb="FF1A202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202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B3A6B"/>
        <bgColor rgb="FF2D3748"/>
      </patternFill>
    </fill>
    <fill>
      <patternFill patternType="solid">
        <fgColor rgb="FF14BDBD"/>
        <bgColor rgb="FF00CCFF"/>
      </patternFill>
    </fill>
    <fill>
      <patternFill patternType="solid">
        <fgColor rgb="FFD6E4F0"/>
        <bgColor rgb="FFD9D9D9"/>
      </patternFill>
    </fill>
    <fill>
      <patternFill patternType="solid">
        <fgColor rgb="FFEAF4FB"/>
        <bgColor rgb="FFF7F9FC"/>
      </patternFill>
    </fill>
    <fill>
      <patternFill patternType="solid">
        <fgColor rgb="FF0D7377"/>
        <bgColor rgb="FF008080"/>
      </patternFill>
    </fill>
    <fill>
      <patternFill patternType="solid">
        <fgColor rgb="FFF7F9FC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D3748"/>
        <bgColor rgb="FF1B3A6B"/>
      </patternFill>
    </fill>
    <fill>
      <patternFill patternType="solid">
        <fgColor rgb="FFE8A02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CCCCCC"/>
      <rgbColor rgb="FF878787"/>
      <rgbColor rgb="FF9999FF"/>
      <rgbColor rgb="FF993366"/>
      <rgbColor rgb="FFF9F9F9"/>
      <rgbColor rgb="FFEAF4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7F9FC"/>
      <rgbColor rgb="FFFFFF99"/>
      <rgbColor rgb="FF99CCFF"/>
      <rgbColor rgb="FFFF99CC"/>
      <rgbColor rgb="FFCC99FF"/>
      <rgbColor rgb="FFFFCC99"/>
      <rgbColor rgb="FF3366FF"/>
      <rgbColor rgb="FF14BDBD"/>
      <rgbColor rgb="FF99CC00"/>
      <rgbColor rgb="FFFFCC00"/>
      <rgbColor rgb="FFE8A020"/>
      <rgbColor rgb="FFFF6600"/>
      <rgbColor rgb="FF718096"/>
      <rgbColor rgb="FF969696"/>
      <rgbColor rgb="FF1B3A6B"/>
      <rgbColor rgb="FF339966"/>
      <rgbColor rgb="FF003300"/>
      <rgbColor rgb="FF1A202C"/>
      <rgbColor rgb="FFC0392B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Admissions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Admissions</c:v>
                </c:pt>
              </c:strCache>
            </c:strRef>
          </c:tx>
          <c:spPr>
            <a:solidFill>
              <a:srgbClr val="0d73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Dashboard!$A$9:$A$14</c:f>
              <c:strCache>
                <c:ptCount val="6"/>
                <c:pt idx="0">
                  <c:v>Emergency &amp; Trauma</c:v>
                </c:pt>
                <c:pt idx="1">
                  <c:v>Cardiology</c:v>
                </c:pt>
                <c:pt idx="2">
                  <c:v>Orthopaedics</c:v>
                </c:pt>
                <c:pt idx="3">
                  <c:v>Oncology</c:v>
                </c:pt>
                <c:pt idx="4">
                  <c:v>Paediatrics</c:v>
                </c:pt>
                <c:pt idx="5">
                  <c:v>Neurology</c:v>
                </c:pt>
              </c:strCache>
            </c:strRef>
          </c:cat>
          <c:val>
            <c:numRef>
              <c:f>Dashboard!$B$9:$B$14</c:f>
              <c:numCache>
                <c:formatCode>#,##0</c:formatCode>
                <c:ptCount val="6"/>
                <c:pt idx="0">
                  <c:v>18432</c:v>
                </c:pt>
                <c:pt idx="1">
                  <c:v>9871</c:v>
                </c:pt>
                <c:pt idx="2">
                  <c:v>7654</c:v>
                </c:pt>
                <c:pt idx="3">
                  <c:v>6201</c:v>
                </c:pt>
                <c:pt idx="4">
                  <c:v>5987</c:v>
                </c:pt>
                <c:pt idx="5">
                  <c:v>4312</c:v>
                </c:pt>
              </c:numCache>
            </c:numRef>
          </c:val>
        </c:ser>
        <c:gapWidth val="150"/>
        <c:overlap val="0"/>
        <c:axId val="4954100"/>
        <c:axId val="77960676"/>
      </c:barChart>
      <c:catAx>
        <c:axId val="4954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60676"/>
        <c:crosses val="autoZero"/>
        <c:auto val="1"/>
        <c:lblAlgn val="ctr"/>
        <c:lblOffset val="100"/>
        <c:noMultiLvlLbl val="0"/>
      </c:catAx>
      <c:valAx>
        <c:axId val="77960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41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Readmission Rate by Department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Dashboard!E8</c:f>
              <c:strCache>
                <c:ptCount val="1"/>
                <c:pt idx="0">
                  <c:v>Readmit Rate %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Dashboard!$A$9:$A$14</c:f>
              <c:strCache>
                <c:ptCount val="6"/>
                <c:pt idx="0">
                  <c:v>Emergency &amp; Trauma</c:v>
                </c:pt>
                <c:pt idx="1">
                  <c:v>Cardiology</c:v>
                </c:pt>
                <c:pt idx="2">
                  <c:v>Orthopaedics</c:v>
                </c:pt>
                <c:pt idx="3">
                  <c:v>Oncology</c:v>
                </c:pt>
                <c:pt idx="4">
                  <c:v>Paediatrics</c:v>
                </c:pt>
                <c:pt idx="5">
                  <c:v>Neurology</c:v>
                </c:pt>
              </c:strCache>
            </c:strRef>
          </c:cat>
          <c:val>
            <c:numRef>
              <c:f>Dashboard!$E$9:$E$14</c:f>
              <c:numCache>
                <c:formatCode>0.0</c:formatCode>
                <c:ptCount val="6"/>
                <c:pt idx="0">
                  <c:v>22.4</c:v>
                </c:pt>
                <c:pt idx="1">
                  <c:v>18.7</c:v>
                </c:pt>
                <c:pt idx="2">
                  <c:v>9.3</c:v>
                </c:pt>
                <c:pt idx="3">
                  <c:v>31.2</c:v>
                </c:pt>
                <c:pt idx="4">
                  <c:v>7.8</c:v>
                </c:pt>
                <c:pt idx="5">
                  <c:v>21.1</c:v>
                </c:pt>
              </c:numCache>
            </c:numRef>
          </c:val>
        </c:ser>
        <c:gapWidth val="150"/>
        <c:overlap val="0"/>
        <c:axId val="47608971"/>
        <c:axId val="16734013"/>
      </c:barChart>
      <c:catAx>
        <c:axId val="476089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34013"/>
        <c:crosses val="autoZero"/>
        <c:auto val="1"/>
        <c:lblAlgn val="ctr"/>
        <c:lblOffset val="100"/>
        <c:noMultiLvlLbl val="0"/>
      </c:catAx>
      <c:valAx>
        <c:axId val="167340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089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Admissions by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Dashboard!C18</c:f>
              <c:strCache>
                <c:ptCount val="1"/>
                <c:pt idx="0">
                  <c:v>Admissions</c:v>
                </c:pt>
              </c:strCache>
            </c:strRef>
          </c:tx>
          <c:spPr>
            <a:solidFill>
              <a:srgbClr val="e8a02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Dashboard!$A$19:$A$22</c:f>
              <c:strCache>
                <c:ptCount val="4"/>
                <c:pt idx="0">
                  <c:v>Winter</c:v>
                </c:pt>
                <c:pt idx="1">
                  <c:v>Spring</c:v>
                </c:pt>
                <c:pt idx="2">
                  <c:v>Summer</c:v>
                </c:pt>
                <c:pt idx="3">
                  <c:v>Autumn</c:v>
                </c:pt>
              </c:strCache>
            </c:strRef>
          </c:cat>
          <c:val>
            <c:numRef>
              <c:f>Dashboard!$C$19:$C$22</c:f>
              <c:numCache>
                <c:formatCode>#,##0</c:formatCode>
                <c:ptCount val="4"/>
                <c:pt idx="0">
                  <c:v>24312</c:v>
                </c:pt>
                <c:pt idx="1">
                  <c:v>18901</c:v>
                </c:pt>
                <c:pt idx="2">
                  <c:v>17234</c:v>
                </c:pt>
                <c:pt idx="3">
                  <c:v>21103</c:v>
                </c:pt>
              </c:numCache>
            </c:numRef>
          </c:val>
        </c:ser>
        <c:gapWidth val="150"/>
        <c:overlap val="0"/>
        <c:axId val="87123039"/>
        <c:axId val="46973557"/>
      </c:barChart>
      <c:catAx>
        <c:axId val="8712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73557"/>
        <c:crosses val="autoZero"/>
        <c:auto val="1"/>
        <c:lblAlgn val="ctr"/>
        <c:lblOffset val="100"/>
        <c:noMultiLvlLbl val="0"/>
      </c:catAx>
      <c:valAx>
        <c:axId val="46973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230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7</xdr:row>
      <xdr:rowOff>0</xdr:rowOff>
    </xdr:from>
    <xdr:to>
      <xdr:col>18</xdr:col>
      <xdr:colOff>303480</xdr:colOff>
      <xdr:row>27</xdr:row>
      <xdr:rowOff>174240</xdr:rowOff>
    </xdr:to>
    <xdr:graphicFrame>
      <xdr:nvGraphicFramePr>
        <xdr:cNvPr id="0" name="Chart 1"/>
        <xdr:cNvGraphicFramePr/>
      </xdr:nvGraphicFramePr>
      <xdr:xfrm>
        <a:off x="6484680" y="191448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18</xdr:col>
      <xdr:colOff>303480</xdr:colOff>
      <xdr:row>51</xdr:row>
      <xdr:rowOff>107640</xdr:rowOff>
    </xdr:to>
    <xdr:graphicFrame>
      <xdr:nvGraphicFramePr>
        <xdr:cNvPr id="1" name="Chart 2"/>
        <xdr:cNvGraphicFramePr/>
      </xdr:nvGraphicFramePr>
      <xdr:xfrm>
        <a:off x="6484680" y="641988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45</xdr:row>
      <xdr:rowOff>0</xdr:rowOff>
    </xdr:from>
    <xdr:to>
      <xdr:col>17</xdr:col>
      <xdr:colOff>195120</xdr:colOff>
      <xdr:row>67</xdr:row>
      <xdr:rowOff>128520</xdr:rowOff>
    </xdr:to>
    <xdr:graphicFrame>
      <xdr:nvGraphicFramePr>
        <xdr:cNvPr id="2" name="Chart 3"/>
        <xdr:cNvGraphicFramePr/>
      </xdr:nvGraphicFramePr>
      <xdr:xfrm>
        <a:off x="6484680" y="98488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2"/>
    <col collapsed="false" customWidth="true" hidden="false" outlineLevel="0" max="8" min="8" style="0" width="16"/>
    <col collapsed="false" customWidth="true" hidden="false" outlineLevel="0" max="12" min="9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8" hidden="false" customHeight="true" outlineLevel="0" collapsed="false">
      <c r="A4" s="3" t="s">
        <v>2</v>
      </c>
      <c r="B4" s="3"/>
      <c r="C4" s="4" t="s">
        <v>3</v>
      </c>
      <c r="D4" s="4"/>
      <c r="E4" s="3" t="s">
        <v>4</v>
      </c>
      <c r="F4" s="3"/>
      <c r="G4" s="4" t="s">
        <v>5</v>
      </c>
      <c r="H4" s="4"/>
      <c r="I4" s="3" t="s">
        <v>6</v>
      </c>
      <c r="J4" s="3"/>
      <c r="K4" s="4" t="s">
        <v>7</v>
      </c>
      <c r="L4" s="4"/>
    </row>
    <row r="5" customFormat="false" ht="25.5" hidden="false" customHeight="true" outlineLevel="0" collapsed="false">
      <c r="A5" s="5" t="s">
        <v>8</v>
      </c>
      <c r="B5" s="5"/>
      <c r="C5" s="6" t="s">
        <v>9</v>
      </c>
      <c r="D5" s="6"/>
      <c r="E5" s="5" t="s">
        <v>10</v>
      </c>
      <c r="F5" s="5"/>
      <c r="G5" s="6" t="s">
        <v>11</v>
      </c>
      <c r="H5" s="6"/>
      <c r="I5" s="5" t="s">
        <v>12</v>
      </c>
      <c r="J5" s="5"/>
      <c r="K5" s="6" t="s">
        <v>13</v>
      </c>
      <c r="L5" s="6"/>
    </row>
    <row r="7" customFormat="false" ht="21.75" hidden="false" customHeight="true" outlineLevel="0" collapsed="false">
      <c r="A7" s="7" t="s">
        <v>14</v>
      </c>
      <c r="B7" s="7"/>
      <c r="C7" s="7"/>
      <c r="D7" s="7"/>
      <c r="E7" s="7"/>
      <c r="F7" s="7"/>
    </row>
    <row r="8" customFormat="false" ht="19.5" hidden="false" customHeight="true" outlineLevel="0" collapsed="false">
      <c r="A8" s="8" t="s">
        <v>15</v>
      </c>
      <c r="B8" s="8" t="s">
        <v>16</v>
      </c>
      <c r="C8" s="8" t="s">
        <v>17</v>
      </c>
      <c r="D8" s="8" t="s">
        <v>18</v>
      </c>
      <c r="E8" s="8" t="s">
        <v>19</v>
      </c>
      <c r="F8" s="8" t="s">
        <v>20</v>
      </c>
    </row>
    <row r="9" customFormat="false" ht="18" hidden="false" customHeight="true" outlineLevel="0" collapsed="false">
      <c r="A9" s="9" t="s">
        <v>21</v>
      </c>
      <c r="B9" s="10" t="n">
        <v>18432</v>
      </c>
      <c r="C9" s="11" t="n">
        <v>3.2</v>
      </c>
      <c r="D9" s="10" t="n">
        <v>4128</v>
      </c>
      <c r="E9" s="11" t="n">
        <v>22.4</v>
      </c>
      <c r="F9" s="9" t="s">
        <v>22</v>
      </c>
    </row>
    <row r="10" customFormat="false" ht="18" hidden="false" customHeight="true" outlineLevel="0" collapsed="false">
      <c r="A10" s="12" t="s">
        <v>23</v>
      </c>
      <c r="B10" s="13" t="n">
        <v>9871</v>
      </c>
      <c r="C10" s="14" t="n">
        <v>5.8</v>
      </c>
      <c r="D10" s="13" t="n">
        <v>1846</v>
      </c>
      <c r="E10" s="14" t="n">
        <v>18.7</v>
      </c>
      <c r="F10" s="12" t="s">
        <v>22</v>
      </c>
    </row>
    <row r="11" customFormat="false" ht="18" hidden="false" customHeight="true" outlineLevel="0" collapsed="false">
      <c r="A11" s="9" t="s">
        <v>24</v>
      </c>
      <c r="B11" s="10" t="n">
        <v>7654</v>
      </c>
      <c r="C11" s="11" t="n">
        <v>4.9</v>
      </c>
      <c r="D11" s="10" t="n">
        <v>711</v>
      </c>
      <c r="E11" s="11" t="n">
        <v>9.3</v>
      </c>
      <c r="F11" s="9" t="s">
        <v>25</v>
      </c>
    </row>
    <row r="12" customFormat="false" ht="18" hidden="false" customHeight="true" outlineLevel="0" collapsed="false">
      <c r="A12" s="12" t="s">
        <v>26</v>
      </c>
      <c r="B12" s="13" t="n">
        <v>6201</v>
      </c>
      <c r="C12" s="14" t="n">
        <v>8.4</v>
      </c>
      <c r="D12" s="13" t="n">
        <v>1935</v>
      </c>
      <c r="E12" s="14" t="n">
        <v>31.2</v>
      </c>
      <c r="F12" s="12" t="s">
        <v>27</v>
      </c>
    </row>
    <row r="13" customFormat="false" ht="18" hidden="false" customHeight="true" outlineLevel="0" collapsed="false">
      <c r="A13" s="9" t="s">
        <v>28</v>
      </c>
      <c r="B13" s="10" t="n">
        <v>5987</v>
      </c>
      <c r="C13" s="11" t="n">
        <v>2.7</v>
      </c>
      <c r="D13" s="10" t="n">
        <v>467</v>
      </c>
      <c r="E13" s="11" t="n">
        <v>7.8</v>
      </c>
      <c r="F13" s="9" t="s">
        <v>25</v>
      </c>
    </row>
    <row r="14" customFormat="false" ht="18" hidden="false" customHeight="true" outlineLevel="0" collapsed="false">
      <c r="A14" s="12" t="s">
        <v>29</v>
      </c>
      <c r="B14" s="13" t="n">
        <v>4312</v>
      </c>
      <c r="C14" s="14" t="n">
        <v>6.1</v>
      </c>
      <c r="D14" s="13" t="n">
        <v>910</v>
      </c>
      <c r="E14" s="14" t="n">
        <v>21.1</v>
      </c>
      <c r="F14" s="12" t="s">
        <v>22</v>
      </c>
    </row>
    <row r="15" customFormat="false" ht="19.5" hidden="false" customHeight="true" outlineLevel="0" collapsed="false">
      <c r="A15" s="15" t="s">
        <v>30</v>
      </c>
      <c r="B15" s="16" t="n">
        <f aca="false">SUM(B9:B14)</f>
        <v>52457</v>
      </c>
      <c r="C15" s="17" t="n">
        <f aca="false">AVERAGE(C9:C14)</f>
        <v>5.18333333333333</v>
      </c>
      <c r="D15" s="16" t="n">
        <f aca="false">SUM(D9:D14)</f>
        <v>9997</v>
      </c>
      <c r="E15" s="17" t="n">
        <f aca="false">AVERAGE(E9:E14)</f>
        <v>18.4166666666667</v>
      </c>
    </row>
    <row r="17" customFormat="false" ht="21.75" hidden="false" customHeight="true" outlineLevel="0" collapsed="false">
      <c r="A17" s="18" t="s">
        <v>31</v>
      </c>
      <c r="B17" s="18"/>
      <c r="C17" s="18"/>
      <c r="D17" s="18"/>
      <c r="E17" s="18"/>
    </row>
    <row r="18" customFormat="false" ht="19.5" hidden="false" customHeight="true" outlineLevel="0" collapsed="false">
      <c r="A18" s="19" t="s">
        <v>32</v>
      </c>
      <c r="B18" s="19" t="s">
        <v>33</v>
      </c>
      <c r="C18" s="19" t="s">
        <v>16</v>
      </c>
      <c r="D18" s="19" t="s">
        <v>18</v>
      </c>
      <c r="E18" s="19" t="s">
        <v>17</v>
      </c>
    </row>
    <row r="19" customFormat="false" ht="18" hidden="false" customHeight="true" outlineLevel="0" collapsed="false">
      <c r="A19" s="9" t="s">
        <v>34</v>
      </c>
      <c r="B19" s="9" t="s">
        <v>35</v>
      </c>
      <c r="C19" s="10" t="n">
        <v>24312</v>
      </c>
      <c r="D19" s="10" t="n">
        <v>5234</v>
      </c>
      <c r="E19" s="11" t="n">
        <v>4.8</v>
      </c>
    </row>
    <row r="20" customFormat="false" ht="18" hidden="false" customHeight="true" outlineLevel="0" collapsed="false">
      <c r="A20" s="12" t="s">
        <v>36</v>
      </c>
      <c r="B20" s="12" t="s">
        <v>37</v>
      </c>
      <c r="C20" s="13" t="n">
        <v>18901</v>
      </c>
      <c r="D20" s="13" t="n">
        <v>3412</v>
      </c>
      <c r="E20" s="14" t="n">
        <v>4.2</v>
      </c>
    </row>
    <row r="21" customFormat="false" ht="18" hidden="false" customHeight="true" outlineLevel="0" collapsed="false">
      <c r="A21" s="9" t="s">
        <v>38</v>
      </c>
      <c r="B21" s="9" t="s">
        <v>39</v>
      </c>
      <c r="C21" s="10" t="n">
        <v>17234</v>
      </c>
      <c r="D21" s="10" t="n">
        <v>2987</v>
      </c>
      <c r="E21" s="11" t="n">
        <v>3.9</v>
      </c>
    </row>
    <row r="22" customFormat="false" ht="18" hidden="false" customHeight="true" outlineLevel="0" collapsed="false">
      <c r="A22" s="12" t="s">
        <v>40</v>
      </c>
      <c r="B22" s="12" t="s">
        <v>41</v>
      </c>
      <c r="C22" s="13" t="n">
        <v>21103</v>
      </c>
      <c r="D22" s="13" t="n">
        <v>4213</v>
      </c>
      <c r="E22" s="14" t="n">
        <v>4.5</v>
      </c>
    </row>
    <row r="23" customFormat="false" ht="19.5" hidden="false" customHeight="true" outlineLevel="0" collapsed="false">
      <c r="A23" s="15" t="s">
        <v>30</v>
      </c>
      <c r="C23" s="16" t="n">
        <f aca="false">SUM(C19:C22)</f>
        <v>81550</v>
      </c>
      <c r="D23" s="16" t="n">
        <f aca="false">SUM(D19:D22)</f>
        <v>15846</v>
      </c>
      <c r="E23" s="17" t="n">
        <f aca="false">AVERAGE(E19:E22)</f>
        <v>4.35</v>
      </c>
    </row>
  </sheetData>
  <mergeCells count="16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F7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2026-06-26T21:22:31Z</dcterms:created>
  <dc:creator>openpyxl</dc:creator>
  <dc:description/>
  <dc:language>en-US</dc:language>
  <cp:lastModifiedBy/>
  <dcterms:modified xsi:type="dcterms:W3CDTF">2026-06-26T21:22:47Z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